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n\Desktop\translator\test_docs\realistic\"/>
    </mc:Choice>
  </mc:AlternateContent>
  <xr:revisionPtr revIDLastSave="0" documentId="8_{2CE735DE-301D-450A-B169-7B9B7E4BC855}" xr6:coauthVersionLast="47" xr6:coauthVersionMax="47" xr10:uidLastSave="{00000000-0000-0000-0000-000000000000}"/>
  <bookViews>
    <workbookView xWindow="1170" yWindow="1170" windowWidth="28800" windowHeight="15345" xr2:uid="{3B51B9E5-A197-45D0-9205-2F74E3F538D1}"/>
  </bookViews>
  <sheets>
    <sheet name="Server Metrics" sheetId="3" r:id="rId1"/>
    <sheet name="Node Inventory" sheetId="2" r:id="rId2"/>
    <sheet name="Executive KPI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  <c r="C14" i="3"/>
  <c r="C13" i="3"/>
  <c r="C12" i="3"/>
  <c r="G10" i="3"/>
  <c r="G9" i="3"/>
  <c r="G8" i="3"/>
  <c r="G7" i="3"/>
  <c r="G6" i="3"/>
  <c r="G5" i="3"/>
  <c r="G4" i="3"/>
  <c r="G3" i="3"/>
</calcChain>
</file>

<file path=xl/sharedStrings.xml><?xml version="1.0" encoding="utf-8"?>
<sst xmlns="http://schemas.openxmlformats.org/spreadsheetml/2006/main" count="77" uniqueCount="54">
  <si>
    <t>Enterprise Cluster Telemetry and System Metrics</t>
  </si>
  <si>
    <t>Server ID</t>
  </si>
  <si>
    <t>Host Node Name</t>
  </si>
  <si>
    <t>Geographic Region</t>
  </si>
  <si>
    <t>Operational Status</t>
  </si>
  <si>
    <t>Latency (ms)</t>
  </si>
  <si>
    <t>Throughput (MB/s)</t>
  </si>
  <si>
    <t>Calculated Health</t>
  </si>
  <si>
    <t>SRV-101</t>
  </si>
  <si>
    <t>node-alpha-01</t>
  </si>
  <si>
    <t>US East (US-East)</t>
  </si>
  <si>
    <t>Online</t>
  </si>
  <si>
    <t>SRV-102</t>
  </si>
  <si>
    <t>node-alpha-02</t>
  </si>
  <si>
    <t>SRV-103</t>
  </si>
  <si>
    <t>node-beta-01</t>
  </si>
  <si>
    <t>Western Europe (EU-West)</t>
  </si>
  <si>
    <t>Degraded</t>
  </si>
  <si>
    <t>SRV-104</t>
  </si>
  <si>
    <t>node-beta-02</t>
  </si>
  <si>
    <t>SRV-105</t>
  </si>
  <si>
    <t>node-gamma-01</t>
  </si>
  <si>
    <t>Asia Pacific South (AP-South)</t>
  </si>
  <si>
    <t>Offline</t>
  </si>
  <si>
    <t>SRV-106</t>
  </si>
  <si>
    <t>node-gamma-02</t>
  </si>
  <si>
    <t>SRV-107</t>
  </si>
  <si>
    <t>node-delta-01</t>
  </si>
  <si>
    <t>US West (US-West)</t>
  </si>
  <si>
    <t>Maintenance</t>
  </si>
  <si>
    <t>SRV-108</t>
  </si>
  <si>
    <t>node-delta-02</t>
  </si>
  <si>
    <t>Physical Hardware Inventory and Rack Topology</t>
  </si>
  <si>
    <t>CPU Architecture</t>
  </si>
  <si>
    <t>RAM (GB)</t>
  </si>
  <si>
    <t>NVMe Capacity (TB)</t>
  </si>
  <si>
    <t>Datacenter Role</t>
  </si>
  <si>
    <t>AMD EPYC 9654 (96-Core)</t>
  </si>
  <si>
    <t>Primary Database Node</t>
  </si>
  <si>
    <t>Secondary Replicant</t>
  </si>
  <si>
    <t>Intel Xeon Platinum 8480</t>
  </si>
  <si>
    <t>Ingress Gateway</t>
  </si>
  <si>
    <t>Microservice Worker</t>
  </si>
  <si>
    <t>Ampere Altra Max (128-Core)</t>
  </si>
  <si>
    <t>Edge Compute</t>
  </si>
  <si>
    <t>Consensus Leader</t>
  </si>
  <si>
    <t>Consensus Follower</t>
  </si>
  <si>
    <t>Total Active Cluster Throughput:</t>
  </si>
  <si>
    <t>Average Cluster Latency:</t>
  </si>
  <si>
    <t>Primary Cluster Node Type:</t>
  </si>
  <si>
    <t>Executive KPI Summary Dashboard</t>
  </si>
  <si>
    <t>Global System Health Summary:</t>
  </si>
  <si>
    <t>Total Network Bandwidth:</t>
  </si>
  <si>
    <t>Average End-to-End Latency: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</si>
</sst>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6F47-B025-45AF-847D-485019633723}">
  <dimension ref="A1:G14"/>
  <sheetViews>
    <sheetView tabSelected="1" workbookViewId="0"/>
  </sheetViews>
  <sheetFormatPr defaultRowHeight="15" x14ac:dyDescent="0.25"/>
  <sheetData>
    <row r="1" spans="1:7" ht="18.75" x14ac:dyDescent="0.3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>
        <v>12.5</v>
      </c>
      <c r="F3">
        <v>4500</v>
      </c>
      <c r="G3" t="str">
        <f>IF(D3="Online", "Optimal Performance", "Requires Inspection")</f>
        <v>Optimal Performance</v>
      </c>
    </row>
    <row r="4" spans="1:7" x14ac:dyDescent="0.25">
      <c r="A4" t="s">
        <v>12</v>
      </c>
      <c r="B4" t="s">
        <v>13</v>
      </c>
      <c r="C4" t="s">
        <v>10</v>
      </c>
      <c r="D4" t="s">
        <v>11</v>
      </c>
      <c r="E4">
        <v>14.2</v>
      </c>
      <c r="F4">
        <v>4200</v>
      </c>
      <c r="G4" t="str">
        <f>IF(D4="Online", "Optimal Performance", "Requires Inspection")</f>
        <v>Optimal Performance</v>
      </c>
    </row>
    <row r="5" spans="1:7" x14ac:dyDescent="0.25">
      <c r="A5" t="s">
        <v>14</v>
      </c>
      <c r="B5" t="s">
        <v>15</v>
      </c>
      <c r="C5" t="s">
        <v>16</v>
      </c>
      <c r="D5" t="s">
        <v>17</v>
      </c>
      <c r="E5">
        <v>85</v>
      </c>
      <c r="F5">
        <v>1800</v>
      </c>
      <c r="G5" t="str">
        <f>IF(D5="Online", "Optimal Performance", "Requires Inspection")</f>
        <v>Requires Inspection</v>
      </c>
    </row>
    <row r="6" spans="1:7" x14ac:dyDescent="0.25">
      <c r="A6" t="s">
        <v>18</v>
      </c>
      <c r="B6" t="s">
        <v>19</v>
      </c>
      <c r="C6" t="s">
        <v>16</v>
      </c>
      <c r="D6" t="s">
        <v>11</v>
      </c>
      <c r="E6">
        <v>18.5</v>
      </c>
      <c r="F6">
        <v>3900</v>
      </c>
      <c r="G6" t="str">
        <f>IF(D6="Online", "Optimal Performance", "Requires Inspection")</f>
        <v>Optimal Performance</v>
      </c>
    </row>
    <row r="7" spans="1:7" x14ac:dyDescent="0.25">
      <c r="A7" t="s">
        <v>20</v>
      </c>
      <c r="B7" t="s">
        <v>21</v>
      </c>
      <c r="C7" t="s">
        <v>22</v>
      </c>
      <c r="D7" t="s">
        <v>23</v>
      </c>
      <c r="E7">
        <v>250</v>
      </c>
      <c r="F7">
        <v>0</v>
      </c>
      <c r="G7" t="str">
        <f>IF(D7="Online", "Optimal Performance", "Requires Inspection")</f>
        <v>Requires Inspection</v>
      </c>
    </row>
    <row r="8" spans="1:7" x14ac:dyDescent="0.25">
      <c r="A8" t="s">
        <v>24</v>
      </c>
      <c r="B8" t="s">
        <v>25</v>
      </c>
      <c r="C8" t="s">
        <v>22</v>
      </c>
      <c r="D8" t="s">
        <v>11</v>
      </c>
      <c r="E8">
        <v>32</v>
      </c>
      <c r="F8">
        <v>3100</v>
      </c>
      <c r="G8" t="str">
        <f>IF(D8="Online", "Optimal Performance", "Requires Inspection")</f>
        <v>Optimal Performance</v>
      </c>
    </row>
    <row r="9" spans="1:7" x14ac:dyDescent="0.25">
      <c r="A9" t="s">
        <v>26</v>
      </c>
      <c r="B9" t="s">
        <v>27</v>
      </c>
      <c r="C9" t="s">
        <v>28</v>
      </c>
      <c r="D9" t="s">
        <v>29</v>
      </c>
      <c r="E9">
        <v>0</v>
      </c>
      <c r="F9">
        <v>0</v>
      </c>
      <c r="G9" t="str">
        <f>IF(D9="Online", "Optimal Performance", "Requires Inspection")</f>
        <v>Requires Inspection</v>
      </c>
    </row>
    <row r="10" spans="1:7" x14ac:dyDescent="0.25">
      <c r="A10" t="s">
        <v>30</v>
      </c>
      <c r="B10" t="s">
        <v>31</v>
      </c>
      <c r="C10" t="s">
        <v>28</v>
      </c>
      <c r="D10" t="s">
        <v>11</v>
      </c>
      <c r="E10">
        <v>9.8000000000000007</v>
      </c>
      <c r="F10">
        <v>5100</v>
      </c>
      <c r="G10" t="str">
        <f>IF(D10="Online", "Optimal Performance", "Requires Inspection")</f>
        <v>Optimal Performance</v>
      </c>
    </row>
    <row r="12" spans="1:7" x14ac:dyDescent="0.25">
      <c r="A12" t="s">
        <v>47</v>
      </c>
      <c r="C12">
        <f>SUM(F3:F10)</f>
        <v>22600</v>
      </c>
    </row>
    <row r="13" spans="1:7" x14ac:dyDescent="0.25">
      <c r="A13" t="s">
        <v>48</v>
      </c>
      <c r="C13">
        <f>AVERAGE(E3:E10)</f>
        <v>52.75</v>
      </c>
    </row>
    <row r="14" spans="1:7" x14ac:dyDescent="0.25">
      <c r="A14" t="s">
        <v>49</v>
      </c>
      <c r="C14" t="str">
        <f>VLOOKUP("SRV-101", 'Node Inventory'!A3:E10, 5, FALSE)</f>
        <v>Primary Database Node</v>
      </c>
    </row>
  </sheetData>
  <mergeCells count="1">
    <mergeCell ref="A1:G1"/>
  </mergeCells>
  <dataValidations count="1">
    <dataValidation type="list" allowBlank="1" showInputMessage="1" showErrorMessage="1" sqref="D3:D10" xr:uid="{6410E198-7DA9-4509-AE62-428C9B02B09D}">
      <formula1>"Online,Degraded,Offline,Maintenance"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80D8-40A9-4984-AECF-CA0E4427098A}">
  <dimension ref="A1:E10"/>
  <sheetViews>
    <sheetView workbookViewId="0"/>
  </sheetViews>
  <sheetFormatPr defaultRowHeight="15" x14ac:dyDescent="0.25"/>
  <sheetData>
    <row r="1" spans="1:5" ht="17.25" x14ac:dyDescent="0.3">
      <c r="A1" s="5" t="s">
        <v>32</v>
      </c>
      <c r="B1" s="1"/>
      <c r="C1" s="1"/>
      <c r="D1" s="1"/>
      <c r="E1" s="1"/>
    </row>
    <row r="2" spans="1:5" x14ac:dyDescent="0.25">
      <c r="A2" s="4" t="s">
        <v>1</v>
      </c>
      <c r="B2" s="4" t="s">
        <v>33</v>
      </c>
      <c r="C2" s="4" t="s">
        <v>34</v>
      </c>
      <c r="D2" s="4" t="s">
        <v>35</v>
      </c>
      <c r="E2" s="4" t="s">
        <v>36</v>
      </c>
    </row>
    <row r="3" spans="1:5" x14ac:dyDescent="0.25">
      <c r="A3" t="s">
        <v>8</v>
      </c>
      <c r="B3" t="s">
        <v>37</v>
      </c>
      <c r="C3">
        <v>768</v>
      </c>
      <c r="D3">
        <v>30.5</v>
      </c>
      <c r="E3" t="s">
        <v>38</v>
      </c>
    </row>
    <row r="4" spans="1:5" x14ac:dyDescent="0.25">
      <c r="A4" t="s">
        <v>12</v>
      </c>
      <c r="B4" t="s">
        <v>37</v>
      </c>
      <c r="C4">
        <v>768</v>
      </c>
      <c r="D4">
        <v>30.5</v>
      </c>
      <c r="E4" t="s">
        <v>39</v>
      </c>
    </row>
    <row r="5" spans="1:5" x14ac:dyDescent="0.25">
      <c r="A5" t="s">
        <v>14</v>
      </c>
      <c r="B5" t="s">
        <v>40</v>
      </c>
      <c r="C5">
        <v>512</v>
      </c>
      <c r="D5">
        <v>15.2</v>
      </c>
      <c r="E5" t="s">
        <v>41</v>
      </c>
    </row>
    <row r="6" spans="1:5" x14ac:dyDescent="0.25">
      <c r="A6" t="s">
        <v>18</v>
      </c>
      <c r="B6" t="s">
        <v>40</v>
      </c>
      <c r="C6">
        <v>512</v>
      </c>
      <c r="D6">
        <v>15.2</v>
      </c>
      <c r="E6" t="s">
        <v>42</v>
      </c>
    </row>
    <row r="7" spans="1:5" x14ac:dyDescent="0.25">
      <c r="A7" t="s">
        <v>20</v>
      </c>
      <c r="B7" t="s">
        <v>43</v>
      </c>
      <c r="C7">
        <v>256</v>
      </c>
      <c r="D7">
        <v>7.6</v>
      </c>
      <c r="E7" t="s">
        <v>44</v>
      </c>
    </row>
    <row r="8" spans="1:5" x14ac:dyDescent="0.25">
      <c r="A8" t="s">
        <v>24</v>
      </c>
      <c r="B8" t="s">
        <v>43</v>
      </c>
      <c r="C8">
        <v>256</v>
      </c>
      <c r="D8">
        <v>7.6</v>
      </c>
      <c r="E8" t="s">
        <v>44</v>
      </c>
    </row>
    <row r="9" spans="1:5" x14ac:dyDescent="0.25">
      <c r="A9" t="s">
        <v>26</v>
      </c>
      <c r="B9" t="s">
        <v>37</v>
      </c>
      <c r="C9">
        <v>1024</v>
      </c>
      <c r="D9">
        <v>60</v>
      </c>
      <c r="E9" t="s">
        <v>45</v>
      </c>
    </row>
    <row r="10" spans="1:5" x14ac:dyDescent="0.25">
      <c r="A10" t="s">
        <v>30</v>
      </c>
      <c r="B10" t="s">
        <v>37</v>
      </c>
      <c r="C10">
        <v>1024</v>
      </c>
      <c r="D10">
        <v>60</v>
      </c>
      <c r="E10" t="s">
        <v>46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F785-609D-4017-A61D-FD898EA04F2B}">
  <dimension ref="A1:C5"/>
  <sheetViews>
    <sheetView workbookViewId="0"/>
  </sheetViews>
  <sheetFormatPr defaultRowHeight="15" x14ac:dyDescent="0.25"/>
  <sheetData>
    <row r="1" spans="1:3" ht="18.75" x14ac:dyDescent="0.3">
      <c r="A1" s="6" t="s">
        <v>50</v>
      </c>
    </row>
    <row r="3" spans="1:3" x14ac:dyDescent="0.25">
      <c r="A3" t="s">
        <v>51</v>
      </c>
      <c r="C3" t="str">
        <f>IF('Server Metrics'!C12&gt;15000, "Healthy Operational Cluster", "Degraded Capacity Warning")</f>
        <v>Healthy Operational Cluster</v>
      </c>
    </row>
    <row r="4" spans="1:3" x14ac:dyDescent="0.25">
      <c r="A4" t="s">
        <v>52</v>
      </c>
      <c r="C4">
        <f>'Server Metrics'!C12</f>
        <v>22600</v>
      </c>
    </row>
    <row r="5" spans="1:3" x14ac:dyDescent="0.25">
      <c r="A5" t="s">
        <v>53</v>
      </c>
      <c r="C5">
        <f>'Server Metrics'!C13</f>
        <v>52.75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Server Metrics</vt:lpstr>
      <vt:lpstr>Node Inventory</vt:lpstr>
      <vt:lpstr>Executive 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makan mm</dc:creator>
  <cp:lastModifiedBy>makan mm</cp:lastModifiedBy>
  <dcterms:created xsi:type="dcterms:W3CDTF">2026-10-04T23:09:59Z</dcterms:created>
  <dcterms:modified xsi:type="dcterms:W3CDTF">2026-10-04T23:10:00Z</dcterms:modified>
</cp:coreProperties>
</file>